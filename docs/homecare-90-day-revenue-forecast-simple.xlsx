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0x"/>
  </numFmts>
  <fonts count="7">
    <font>
      <name val="Calibri"/>
      <family val="2"/>
      <color theme="1"/>
      <sz val="11"/>
      <scheme val="minor"/>
    </font>
    <font>
      <b val="1"/>
      <color rgb="000F3D3E"/>
      <sz val="18"/>
    </font>
    <font>
      <i val="1"/>
      <color rgb="00667574"/>
      <sz val="10"/>
    </font>
    <font>
      <b val="1"/>
      <color rgb="00FFFFFF"/>
    </font>
    <font>
      <color rgb="00223A39"/>
    </font>
    <font>
      <b val="1"/>
      <color rgb="000F3D3E"/>
    </font>
    <font>
      <b val="1"/>
      <color rgb="00223A39"/>
    </font>
  </fonts>
  <fills count="9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FFFCF8"/>
      </patternFill>
    </fill>
    <fill>
      <patternFill patternType="solid">
        <fgColor rgb="00EEF3FF"/>
      </patternFill>
    </fill>
    <fill>
      <patternFill patternType="solid">
        <fgColor rgb="00EAF2EF"/>
      </patternFill>
    </fill>
    <fill>
      <patternFill patternType="solid">
        <fgColor rgb="00CC8F34"/>
      </patternFill>
    </fill>
    <fill>
      <patternFill patternType="solid">
        <fgColor rgb="00FFFFFF"/>
      </patternFill>
    </fill>
    <fill>
      <patternFill patternType="solid">
        <fgColor rgb="00FFF3E0"/>
      </patternFill>
    </fill>
  </fills>
  <borders count="11">
    <border>
      <left/>
      <right/>
      <top/>
      <bottom/>
      <diagonal/>
    </border>
    <border>
      <left style="thin">
        <color rgb="00DDD2C5"/>
      </left>
      <right style="thin">
        <color rgb="00DDD2C5"/>
      </right>
      <top style="thin">
        <color rgb="00DDD2C5"/>
      </top>
      <bottom style="thin">
        <color rgb="00DDD2C5"/>
      </bottom>
    </border>
    <border>
      <left/>
      <right/>
      <top style="thin">
        <color rgb="00DDD2C5"/>
      </top>
      <bottom/>
      <diagonal/>
    </border>
    <border>
      <left/>
      <right style="thin">
        <color rgb="00DDD2C5"/>
      </right>
      <top style="thin">
        <color rgb="00DDD2C5"/>
      </top>
      <bottom/>
      <diagonal/>
    </border>
    <border>
      <left/>
      <right/>
      <top style="thin">
        <color rgb="00DDD2C5"/>
      </top>
      <bottom style="thin">
        <color rgb="00DDD2C5"/>
      </bottom>
      <diagonal/>
    </border>
    <border>
      <left/>
      <right style="thin">
        <color rgb="00DDD2C5"/>
      </right>
      <top style="thin">
        <color rgb="00DDD2C5"/>
      </top>
      <bottom style="thin">
        <color rgb="00DDD2C5"/>
      </bottom>
      <diagonal/>
    </border>
    <border>
      <left style="thin">
        <color rgb="00DDD2C5"/>
      </left>
      <right/>
      <top/>
      <bottom/>
      <diagonal/>
    </border>
    <border>
      <left/>
      <right style="thin">
        <color rgb="00DDD2C5"/>
      </right>
      <top/>
      <bottom/>
      <diagonal/>
    </border>
    <border>
      <left style="thin">
        <color rgb="00DDD2C5"/>
      </left>
      <right/>
      <top/>
      <bottom style="thin">
        <color rgb="00DDD2C5"/>
      </bottom>
      <diagonal/>
    </border>
    <border>
      <left/>
      <right/>
      <top/>
      <bottom style="thin">
        <color rgb="00DDD2C5"/>
      </bottom>
      <diagonal/>
    </border>
    <border>
      <left/>
      <right style="thin">
        <color rgb="00DDD2C5"/>
      </right>
      <top/>
      <bottom style="thin">
        <color rgb="00DDD2C5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3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6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166" fontId="5" fillId="7" borderId="1" applyAlignment="1" pivotButton="0" quotePrefix="0" xfId="0">
      <alignment vertical="top" wrapText="1"/>
    </xf>
    <xf numFmtId="166" fontId="5" fillId="5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6" fillId="8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" fontId="4" fillId="3" borderId="1" applyAlignment="1" pivotButton="0" quotePrefix="0" xfId="0">
      <alignment vertical="top" wrapText="1"/>
    </xf>
    <xf numFmtId="167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  <col width="16" customWidth="1" min="5" max="5"/>
    <col width="17" customWidth="1" min="6" max="6"/>
    <col width="17" customWidth="1" min="7" max="7"/>
    <col width="42" customWidth="1" min="8" max="8"/>
  </cols>
  <sheetData>
    <row r="1" ht="21" customHeight="1">
      <c r="A1" s="1" t="inlineStr">
        <is>
          <t>HomeCare HUB - Simple 90-Day Revenue Forecast</t>
        </is>
      </c>
    </row>
    <row r="2" ht="21" customHeight="1">
      <c r="A2" s="2" t="inlineStr">
        <is>
          <t>Simple model: active families x 15 hours/month x $30/hour x 10% platform fee. Edit the blue cells.</t>
        </is>
      </c>
    </row>
    <row r="3" ht="21" customHeight="1"/>
    <row r="4" ht="21" customHeight="1">
      <c r="A4" s="3" t="inlineStr">
        <is>
          <t>1. Editable Assumptions</t>
        </is>
      </c>
      <c r="B4" s="25" t="n"/>
      <c r="C4" s="26" t="n"/>
      <c r="E4" s="3" t="inlineStr">
        <is>
          <t>2. Unit Economics Per Active Family / Month</t>
        </is>
      </c>
      <c r="F4" s="25" t="n"/>
      <c r="G4" s="25" t="n"/>
      <c r="H4" s="26" t="n"/>
    </row>
    <row r="5" ht="21" customHeight="1">
      <c r="A5" s="5" t="inlineStr">
        <is>
          <t>Family hourly rate</t>
        </is>
      </c>
      <c r="B5" s="6" t="n">
        <v>30</v>
      </c>
      <c r="C5" s="5" t="inlineStr">
        <is>
          <t>$ / hour charged to family before processing pass-through</t>
        </is>
      </c>
      <c r="E5" s="5" t="inlineStr">
        <is>
          <t>Care GMV</t>
        </is>
      </c>
      <c r="F5" s="7">
        <f>B5*B6</f>
        <v/>
      </c>
      <c r="G5" s="25" t="n"/>
      <c r="H5" s="26" t="n"/>
    </row>
    <row r="6" ht="21" customHeight="1">
      <c r="A6" s="5" t="inlineStr">
        <is>
          <t>Average usage per active family</t>
        </is>
      </c>
      <c r="B6" s="8" t="n">
        <v>15</v>
      </c>
      <c r="C6" s="5" t="inlineStr">
        <is>
          <t>hours / month</t>
        </is>
      </c>
      <c r="E6" s="9" t="inlineStr">
        <is>
          <t>Platform revenue</t>
        </is>
      </c>
      <c r="F6" s="10">
        <f>F5*$B$7</f>
        <v/>
      </c>
      <c r="G6" s="25" t="n"/>
      <c r="H6" s="26" t="n"/>
    </row>
    <row r="7" ht="21" customHeight="1">
      <c r="A7" s="5" t="inlineStr">
        <is>
          <t>Platform take rate</t>
        </is>
      </c>
      <c r="B7" s="11" t="n">
        <v>0.1</v>
      </c>
      <c r="C7" s="5" t="inlineStr">
        <is>
          <t>HomeCare HUB revenue share</t>
        </is>
      </c>
      <c r="E7" s="5" t="inlineStr">
        <is>
          <t>Caregiver payout</t>
        </is>
      </c>
      <c r="F7" s="7">
        <f>F5*(1-$B$7)</f>
        <v/>
      </c>
      <c r="G7" s="25" t="n"/>
      <c r="H7" s="26" t="n"/>
    </row>
    <row r="8" ht="21" customHeight="1">
      <c r="A8" s="5" t="inlineStr">
        <is>
          <t>Payment processing pass-through</t>
        </is>
      </c>
      <c r="B8" s="11" t="n">
        <v>0.03</v>
      </c>
      <c r="C8" s="5" t="inlineStr">
        <is>
          <t>paid by family, not counted as revenue</t>
        </is>
      </c>
      <c r="E8" s="5" t="inlineStr">
        <is>
          <t>Processing fee paid by family</t>
        </is>
      </c>
      <c r="F8" s="7">
        <f>F5*$B$8</f>
        <v/>
      </c>
      <c r="G8" s="25" t="n"/>
      <c r="H8" s="26" t="n"/>
    </row>
    <row r="9" ht="21" customHeight="1">
      <c r="A9" s="5" t="inlineStr">
        <is>
          <t>90-day marketing budget</t>
        </is>
      </c>
      <c r="B9" s="12" t="n">
        <v>68000</v>
      </c>
      <c r="C9" s="5" t="inlineStr">
        <is>
          <t>from updated 90-day marketing plan</t>
        </is>
      </c>
      <c r="E9" s="5" t="inlineStr">
        <is>
          <t>All-in family billings</t>
        </is>
      </c>
      <c r="F9" s="7">
        <f>F5+F8</f>
        <v/>
      </c>
      <c r="G9" s="25" t="n"/>
      <c r="H9" s="26" t="n"/>
    </row>
    <row r="10" ht="21" customHeight="1"/>
    <row r="11" ht="21" customHeight="1"/>
    <row r="12" ht="21" customHeight="1">
      <c r="A12" s="3" t="inlineStr">
        <is>
          <t>3. Base Case Forecast</t>
        </is>
      </c>
      <c r="B12" s="25" t="n"/>
      <c r="C12" s="25" t="n"/>
      <c r="D12" s="25" t="n"/>
      <c r="E12" s="25" t="n"/>
      <c r="F12" s="25" t="n"/>
      <c r="G12" s="25" t="n"/>
      <c r="H12" s="26" t="n"/>
    </row>
    <row r="13" ht="21" customHeight="1">
      <c r="A13" s="13" t="inlineStr">
        <is>
          <t>Month</t>
        </is>
      </c>
      <c r="B13" s="13" t="inlineStr">
        <is>
          <t>Active Families</t>
        </is>
      </c>
      <c r="C13" s="13" t="inlineStr">
        <is>
          <t>Hours</t>
        </is>
      </c>
      <c r="D13" s="13" t="inlineStr">
        <is>
          <t>Care GMV</t>
        </is>
      </c>
      <c r="E13" s="13" t="inlineStr">
        <is>
          <t>Platform Revenue</t>
        </is>
      </c>
      <c r="F13" s="13" t="inlineStr">
        <is>
          <t>Caregiver Payouts</t>
        </is>
      </c>
      <c r="G13" s="13" t="inlineStr">
        <is>
          <t>Processing Fees</t>
        </is>
      </c>
      <c r="H13" s="13" t="inlineStr">
        <is>
          <t>All-In Family Billings</t>
        </is>
      </c>
    </row>
    <row r="14" ht="21" customHeight="1">
      <c r="A14" s="5" t="inlineStr">
        <is>
          <t>Month 1</t>
        </is>
      </c>
      <c r="B14" s="5" t="n">
        <v>10</v>
      </c>
      <c r="C14" s="5">
        <f>B14*$B$6</f>
        <v/>
      </c>
      <c r="D14" s="14">
        <f>C14*$B$5</f>
        <v/>
      </c>
      <c r="E14" s="14">
        <f>D14*$B$7</f>
        <v/>
      </c>
      <c r="F14" s="14">
        <f>D14*(1-$B$7)</f>
        <v/>
      </c>
      <c r="G14" s="14">
        <f>D14*$B$8</f>
        <v/>
      </c>
      <c r="H14" s="14">
        <f>D14+G14</f>
        <v/>
      </c>
    </row>
    <row r="15" ht="21" customHeight="1">
      <c r="A15" s="15" t="inlineStr">
        <is>
          <t>Month 2</t>
        </is>
      </c>
      <c r="B15" s="15" t="n">
        <v>40</v>
      </c>
      <c r="C15" s="15">
        <f>B15*$B$6</f>
        <v/>
      </c>
      <c r="D15" s="16">
        <f>C15*$B$5</f>
        <v/>
      </c>
      <c r="E15" s="16">
        <f>D15*$B$7</f>
        <v/>
      </c>
      <c r="F15" s="16">
        <f>D15*(1-$B$7)</f>
        <v/>
      </c>
      <c r="G15" s="16">
        <f>D15*$B$8</f>
        <v/>
      </c>
      <c r="H15" s="16">
        <f>D15+G15</f>
        <v/>
      </c>
    </row>
    <row r="16" ht="21" customHeight="1">
      <c r="A16" s="5" t="inlineStr">
        <is>
          <t>Month 3</t>
        </is>
      </c>
      <c r="B16" s="5" t="n">
        <v>90</v>
      </c>
      <c r="C16" s="5">
        <f>B16*$B$6</f>
        <v/>
      </c>
      <c r="D16" s="14">
        <f>C16*$B$5</f>
        <v/>
      </c>
      <c r="E16" s="14">
        <f>D16*$B$7</f>
        <v/>
      </c>
      <c r="F16" s="14">
        <f>D16*(1-$B$7)</f>
        <v/>
      </c>
      <c r="G16" s="14">
        <f>D16*$B$8</f>
        <v/>
      </c>
      <c r="H16" s="14">
        <f>D16+G16</f>
        <v/>
      </c>
    </row>
    <row r="17" ht="21" customHeight="1">
      <c r="A17" s="17" t="inlineStr">
        <is>
          <t>90-Day Total</t>
        </is>
      </c>
      <c r="B17" s="17">
        <f>SUM(B14:B16)</f>
        <v/>
      </c>
      <c r="C17" s="17">
        <f>SUM(C14:C16)</f>
        <v/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</row>
    <row r="18" ht="21" customHeight="1"/>
    <row r="19" ht="21" customHeight="1"/>
    <row r="20" ht="21" customHeight="1">
      <c r="A20" s="3" t="inlineStr">
        <is>
          <t>4. Scenario Snapshot</t>
        </is>
      </c>
      <c r="B20" s="25" t="n"/>
      <c r="C20" s="25" t="n"/>
      <c r="D20" s="25" t="n"/>
      <c r="E20" s="25" t="n"/>
      <c r="F20" s="25" t="n"/>
      <c r="G20" s="25" t="n"/>
      <c r="H20" s="26" t="n"/>
    </row>
    <row r="21" ht="21" customHeight="1">
      <c r="A21" s="19" t="inlineStr">
        <is>
          <t>Scenario</t>
        </is>
      </c>
      <c r="B21" s="19" t="inlineStr">
        <is>
          <t>Active Families M1/M2/M3</t>
        </is>
      </c>
      <c r="C21" s="19" t="inlineStr">
        <is>
          <t>Family-Months</t>
        </is>
      </c>
      <c r="D21" s="19" t="inlineStr">
        <is>
          <t>Total Hours</t>
        </is>
      </c>
      <c r="E21" s="19" t="inlineStr">
        <is>
          <t>Care GMV</t>
        </is>
      </c>
      <c r="F21" s="19" t="inlineStr">
        <is>
          <t>Platform Revenue</t>
        </is>
      </c>
      <c r="G21" s="19" t="inlineStr">
        <is>
          <t>Month 3 Revenue Run-Rate</t>
        </is>
      </c>
      <c r="H21" s="19" t="inlineStr">
        <is>
          <t>Readout</t>
        </is>
      </c>
    </row>
    <row r="22" ht="21" customHeight="1">
      <c r="A22" s="5" t="inlineStr">
        <is>
          <t>Conservative</t>
        </is>
      </c>
      <c r="B22" s="5" t="inlineStr">
        <is>
          <t>5 / 25 / 60</t>
        </is>
      </c>
      <c r="C22" s="5" t="n">
        <v>90</v>
      </c>
      <c r="D22" s="5">
        <f>C22*$B$6</f>
        <v/>
      </c>
      <c r="E22" s="14">
        <f>D22*$B$5</f>
        <v/>
      </c>
      <c r="F22" s="14">
        <f>E22*$B$7</f>
        <v/>
      </c>
      <c r="G22" s="14">
        <f>60*$F$6</f>
        <v/>
      </c>
      <c r="H22" s="5" t="inlineStr">
        <is>
          <t>Light early traction; validates demand but not enough volume yet.</t>
        </is>
      </c>
    </row>
    <row r="23" ht="21" customHeight="1">
      <c r="A23" s="20" t="inlineStr">
        <is>
          <t>Base</t>
        </is>
      </c>
      <c r="B23" s="20" t="inlineStr">
        <is>
          <t>10 / 40 / 90</t>
        </is>
      </c>
      <c r="C23" s="20" t="n">
        <v>140</v>
      </c>
      <c r="D23" s="20">
        <f>C23*$B$6</f>
        <v/>
      </c>
      <c r="E23" s="21">
        <f>D23*$B$5</f>
        <v/>
      </c>
      <c r="F23" s="21">
        <f>E23*$B$7</f>
        <v/>
      </c>
      <c r="G23" s="21">
        <f>90*$F$6</f>
        <v/>
      </c>
      <c r="H23" s="20" t="inlineStr">
        <is>
          <t>Reasonable proof target for first 90 days.</t>
        </is>
      </c>
    </row>
    <row r="24" ht="21" customHeight="1">
      <c r="A24" s="5" t="inlineStr">
        <is>
          <t>Aggressive</t>
        </is>
      </c>
      <c r="B24" s="5" t="inlineStr">
        <is>
          <t>15 / 60 / 120</t>
        </is>
      </c>
      <c r="C24" s="5" t="n">
        <v>195</v>
      </c>
      <c r="D24" s="5">
        <f>C24*$B$6</f>
        <v/>
      </c>
      <c r="E24" s="14">
        <f>D24*$B$5</f>
        <v/>
      </c>
      <c r="F24" s="14">
        <f>E24*$B$7</f>
        <v/>
      </c>
      <c r="G24" s="14">
        <f>120*$F$6</f>
        <v/>
      </c>
      <c r="H24" s="5" t="inlineStr">
        <is>
          <t>Strong early traction and referral/channel fit.</t>
        </is>
      </c>
    </row>
    <row r="25" ht="21" customHeight="1"/>
    <row r="26" ht="21" customHeight="1"/>
    <row r="27" ht="21" customHeight="1">
      <c r="A27" s="3" t="inlineStr">
        <is>
          <t>5. What This Means</t>
        </is>
      </c>
      <c r="B27" s="25" t="n"/>
      <c r="C27" s="25" t="n"/>
      <c r="D27" s="25" t="n"/>
      <c r="E27" s="25" t="n"/>
      <c r="F27" s="25" t="n"/>
      <c r="G27" s="25" t="n"/>
      <c r="H27" s="26" t="n"/>
    </row>
    <row r="28" ht="21" customHeight="1">
      <c r="A28" s="9" t="inlineStr">
        <is>
          <t>Revenue per active family / month</t>
        </is>
      </c>
      <c r="B28" s="22">
        <f>F6</f>
        <v/>
      </c>
      <c r="C28" s="9" t="inlineStr">
        <is>
          <t>This is the most important number: $45/month per active family at current assumptions.</t>
        </is>
      </c>
      <c r="D28" s="25" t="n"/>
      <c r="E28" s="25" t="n"/>
      <c r="F28" s="25" t="n"/>
      <c r="G28" s="25" t="n"/>
      <c r="H28" s="26" t="n"/>
    </row>
    <row r="29" ht="21" customHeight="1">
      <c r="A29" s="9" t="inlineStr">
        <is>
          <t>Base case 90-day platform revenue</t>
        </is>
      </c>
      <c r="B29" s="22">
        <f>E17</f>
        <v/>
      </c>
      <c r="C29" s="9" t="inlineStr">
        <is>
          <t>Revenue is still modest in the first 90 days because usage and active family count are ramping.</t>
        </is>
      </c>
      <c r="D29" s="25" t="n"/>
      <c r="E29" s="25" t="n"/>
      <c r="F29" s="25" t="n"/>
      <c r="G29" s="25" t="n"/>
      <c r="H29" s="26" t="n"/>
    </row>
    <row r="30" ht="21" customHeight="1">
      <c r="A30" s="9" t="inlineStr">
        <is>
          <t>Base case Month 3 revenue run-rate</t>
        </is>
      </c>
      <c r="B30" s="22">
        <f>B16*$F$6</f>
        <v/>
      </c>
      <c r="C30" s="9" t="inlineStr">
        <is>
          <t>If Month 3 active families stay active, this is monthly platform revenue entering Month 4.</t>
        </is>
      </c>
      <c r="D30" s="25" t="n"/>
      <c r="E30" s="25" t="n"/>
      <c r="F30" s="25" t="n"/>
      <c r="G30" s="25" t="n"/>
      <c r="H30" s="26" t="n"/>
    </row>
    <row r="31" ht="21" customHeight="1">
      <c r="A31" s="5" t="inlineStr">
        <is>
          <t>Families needed for $10K/month revenue</t>
        </is>
      </c>
      <c r="B31" s="23">
        <f>ROUNDUP(10000/$F$6,0)</f>
        <v/>
      </c>
      <c r="C31" s="5" t="inlineStr">
        <is>
          <t>At 15 hours/month and a 10% fee, scale still requires active family count growth.</t>
        </is>
      </c>
      <c r="D31" s="25" t="n"/>
      <c r="E31" s="25" t="n"/>
      <c r="F31" s="25" t="n"/>
      <c r="G31" s="25" t="n"/>
      <c r="H31" s="26" t="n"/>
    </row>
    <row r="32" ht="21" customHeight="1">
      <c r="A32" s="5" t="inlineStr">
        <is>
          <t>Families needed for $25K/month revenue</t>
        </is>
      </c>
      <c r="B32" s="23">
        <f>ROUNDUP(25000/$F$6,0)</f>
        <v/>
      </c>
      <c r="C32" s="5" t="inlineStr">
        <is>
          <t>This is why the 90-day plan is about building the demand engine.</t>
        </is>
      </c>
      <c r="D32" s="25" t="n"/>
      <c r="E32" s="25" t="n"/>
      <c r="F32" s="25" t="n"/>
      <c r="G32" s="25" t="n"/>
      <c r="H32" s="26" t="n"/>
    </row>
    <row r="33" ht="21" customHeight="1">
      <c r="A33" s="5" t="inlineStr">
        <is>
          <t>Marketing budget</t>
        </is>
      </c>
      <c r="B33" s="14">
        <f>B9</f>
        <v/>
      </c>
      <c r="C33" s="5" t="inlineStr">
        <is>
          <t>Used to generate local awareness, partners, and traction proof.</t>
        </is>
      </c>
      <c r="D33" s="25" t="n"/>
      <c r="E33" s="25" t="n"/>
      <c r="F33" s="25" t="n"/>
      <c r="G33" s="25" t="n"/>
      <c r="H33" s="26" t="n"/>
    </row>
    <row r="34" ht="21" customHeight="1"/>
    <row r="35" ht="21" customHeight="1"/>
    <row r="36" ht="48" customHeight="1">
      <c r="A36" s="24" t="inlineStr">
        <is>
          <t>Interpretation: The base case now assumes 15 hours/month per active family. That produces $63K in care GMV and $6.3K in platform revenue over 90 days. This is still not meant to pay back the $68K launch budget immediately. The purpose of the first 90 days is to prove demand, completed visits, repeat use, caregiver activation, and source-level acquisition learning.</t>
        </is>
      </c>
      <c r="B36" s="27" t="n"/>
      <c r="C36" s="27" t="n"/>
      <c r="D36" s="27" t="n"/>
      <c r="E36" s="27" t="n"/>
      <c r="F36" s="27" t="n"/>
      <c r="G36" s="27" t="n"/>
      <c r="H36" s="28" t="n"/>
    </row>
    <row r="37" ht="21" customHeight="1">
      <c r="A37" s="29" t="n"/>
      <c r="H37" s="30" t="n"/>
    </row>
    <row r="38" ht="21" customHeight="1">
      <c r="A38" s="31" t="n"/>
      <c r="B38" s="32" t="n"/>
      <c r="C38" s="32" t="n"/>
      <c r="D38" s="32" t="n"/>
      <c r="E38" s="32" t="n"/>
      <c r="F38" s="32" t="n"/>
      <c r="G38" s="32" t="n"/>
      <c r="H38" s="33" t="n"/>
    </row>
    <row r="41" ht="25" customHeight="1">
      <c r="A41" s="3" t="inlineStr">
        <is>
          <t>6. Simple LTV For This Customer Pool</t>
        </is>
      </c>
      <c r="B41" s="4" t="n"/>
      <c r="C41" s="4" t="n"/>
      <c r="D41" s="4" t="n"/>
      <c r="E41" s="4" t="n"/>
      <c r="F41" s="4" t="n"/>
      <c r="G41" s="4" t="n"/>
      <c r="H41" s="4" t="n"/>
    </row>
    <row r="42" ht="25" customHeight="1">
      <c r="A42" s="13" t="inlineStr">
        <is>
          <t>Metric</t>
        </is>
      </c>
      <c r="B42" s="13" t="inlineStr">
        <is>
          <t>Formula</t>
        </is>
      </c>
      <c r="C42" s="13" t="inlineStr">
        <is>
          <t>Value</t>
        </is>
      </c>
      <c r="D42" s="13" t="inlineStr">
        <is>
          <t>Plain-English Readout</t>
        </is>
      </c>
    </row>
    <row r="43" ht="25" customHeight="1">
      <c r="A43" s="9" t="inlineStr">
        <is>
          <t>Revenue / active family / month</t>
        </is>
      </c>
      <c r="B43" s="9">
        <f>F6</f>
        <v/>
      </c>
      <c r="C43" s="22">
        <f>F6</f>
        <v/>
      </c>
      <c r="D43" s="9" t="inlineStr">
        <is>
          <t>At 15 hours/month, each active family generates $45/month of platform revenue.</t>
        </is>
      </c>
      <c r="E43" s="9" t="n"/>
      <c r="F43" s="9" t="n"/>
      <c r="G43" s="9" t="n"/>
      <c r="H43" s="9" t="n"/>
    </row>
    <row r="44" ht="25" customHeight="1">
      <c r="A44" s="5" t="inlineStr">
        <is>
          <t>Average customer life</t>
        </is>
      </c>
      <c r="B44" s="5" t="inlineStr">
        <is>
          <t>36 months</t>
        </is>
      </c>
      <c r="C44" s="34" t="n">
        <v>36</v>
      </c>
      <c r="D44" s="5" t="inlineStr">
        <is>
          <t>Assumes customers stay with HomeCare HUB for 3 years on average.</t>
        </is>
      </c>
      <c r="E44" s="5" t="n"/>
      <c r="F44" s="5" t="n"/>
      <c r="G44" s="5" t="n"/>
      <c r="H44" s="5" t="n"/>
    </row>
    <row r="45" ht="25" customHeight="1">
      <c r="A45" s="9" t="inlineStr">
        <is>
          <t>LTV / active family</t>
        </is>
      </c>
      <c r="B45" s="9">
        <f>monthly revenue x 36</f>
        <v/>
      </c>
      <c r="C45" s="22">
        <f>C43*C44</f>
        <v/>
      </c>
      <c r="D45" s="9" t="inlineStr">
        <is>
          <t>Simple revenue LTV before support, refunds, insurance, software, and overhead.</t>
        </is>
      </c>
      <c r="E45" s="9" t="n"/>
      <c r="F45" s="9" t="n"/>
      <c r="G45" s="9" t="n"/>
      <c r="H45" s="9" t="n"/>
    </row>
    <row r="46" ht="25" customHeight="1">
      <c r="A46" s="5" t="inlineStr">
        <is>
          <t>Base case Month 3 customer pool</t>
        </is>
      </c>
      <c r="B46" s="5" t="inlineStr">
        <is>
          <t>Month 3 active families</t>
        </is>
      </c>
      <c r="C46" s="34">
        <f>B16</f>
        <v/>
      </c>
      <c r="D46" s="5" t="inlineStr">
        <is>
          <t>Customer pool reached by the end of the 90-day launch.</t>
        </is>
      </c>
      <c r="E46" s="5" t="n"/>
      <c r="F46" s="5" t="n"/>
      <c r="G46" s="5" t="n"/>
      <c r="H46" s="5" t="n"/>
    </row>
    <row r="47" ht="25" customHeight="1">
      <c r="A47" s="9" t="inlineStr">
        <is>
          <t>LTV of Month 3 active pool</t>
        </is>
      </c>
      <c r="B47" s="9">
        <f>LTV/family x Month 3 active families</f>
        <v/>
      </c>
      <c r="C47" s="22">
        <f>C45*C46</f>
        <v/>
      </c>
      <c r="D47" s="9" t="inlineStr">
        <is>
          <t>Potential platform revenue over 3 years from the Month 3 active pool if retained on average.</t>
        </is>
      </c>
      <c r="E47" s="9" t="n"/>
      <c r="F47" s="9" t="n"/>
      <c r="G47" s="9" t="n"/>
      <c r="H47" s="9" t="n"/>
    </row>
    <row r="48" ht="25" customHeight="1">
      <c r="A48" s="5" t="inlineStr">
        <is>
          <t>Marketing budget / Month 3 active family</t>
        </is>
      </c>
      <c r="B48" s="5">
        <f>marketing budget / Month 3 active families</f>
        <v/>
      </c>
      <c r="C48" s="14">
        <f>B9/B16</f>
        <v/>
      </c>
      <c r="D48" s="5" t="inlineStr">
        <is>
          <t>Simple acquisition cost proxy based on the full 90-day budget.</t>
        </is>
      </c>
      <c r="E48" s="5" t="n"/>
      <c r="F48" s="5" t="n"/>
      <c r="G48" s="5" t="n"/>
      <c r="H48" s="5" t="n"/>
    </row>
    <row r="49" ht="25" customHeight="1">
      <c r="A49" s="9" t="inlineStr">
        <is>
          <t>Simple LTV / acquisition proxy</t>
        </is>
      </c>
      <c r="B49" s="9">
        <f>LTV per family / marketing cost per Month 3 active family</f>
        <v/>
      </c>
      <c r="C49" s="35">
        <f>C45/C48</f>
        <v/>
      </c>
      <c r="D49" s="9" t="inlineStr">
        <is>
          <t>Simple payback lens; excludes operating costs and future referrals.</t>
        </is>
      </c>
      <c r="E49" s="9" t="n"/>
      <c r="F49" s="9" t="n"/>
      <c r="G49" s="9" t="n"/>
      <c r="H49" s="9" t="n"/>
    </row>
  </sheetData>
  <mergeCells count="27">
    <mergeCell ref="F5:H5"/>
    <mergeCell ref="C31:H31"/>
    <mergeCell ref="F8:H8"/>
    <mergeCell ref="A1:H1"/>
    <mergeCell ref="A36:H38"/>
    <mergeCell ref="D46:H46"/>
    <mergeCell ref="D45:H45"/>
    <mergeCell ref="D49:H49"/>
    <mergeCell ref="A41:H41"/>
    <mergeCell ref="F9:H9"/>
    <mergeCell ref="A4:C4"/>
    <mergeCell ref="A27:H27"/>
    <mergeCell ref="D48:H48"/>
    <mergeCell ref="A12:H12"/>
    <mergeCell ref="C32:H32"/>
    <mergeCell ref="D47:H47"/>
    <mergeCell ref="C28:H28"/>
    <mergeCell ref="D43:H43"/>
    <mergeCell ref="A2:H2"/>
    <mergeCell ref="E4:H4"/>
    <mergeCell ref="C30:H30"/>
    <mergeCell ref="C33:H33"/>
    <mergeCell ref="F6:H6"/>
    <mergeCell ref="A20:H20"/>
    <mergeCell ref="F7:H7"/>
    <mergeCell ref="C29:H29"/>
    <mergeCell ref="D44:H44"/>
  </mergeCells>
  <printOptions horizontalCentered="1"/>
  <pageMargins left="0.3" right="0.3" top="0.4" bottom="0.4" header="0.5" footer="0.5"/>
  <pageSetup orientation="landscape" paperSize="1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2026-05-05T14:08:22Z</dcterms:created>
  <dcterms:modified xmlns:dcterms="http://purl.org/dc/terms/" xmlns:xsi="http://www.w3.org/2001/XMLSchema-instance" xsi:type="dcterms:W3CDTF">2026-05-05T14:13:07Z</dcterms:modified>
</cp:coreProperties>
</file>